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diplomado-data-engineer\"/>
    </mc:Choice>
  </mc:AlternateContent>
  <xr:revisionPtr revIDLastSave="0" documentId="13_ncr:1_{AA958361-1B64-436F-A948-74EDFFCF4B2F}" xr6:coauthVersionLast="47" xr6:coauthVersionMax="47" xr10:uidLastSave="{00000000-0000-0000-0000-000000000000}"/>
  <bookViews>
    <workbookView xWindow="-110" yWindow="-110" windowWidth="19420" windowHeight="11500" xr2:uid="{5F69A3EF-6077-4BDE-A151-51A314216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1" l="1"/>
  <c r="D66" i="1"/>
  <c r="F66" i="1" l="1"/>
</calcChain>
</file>

<file path=xl/sharedStrings.xml><?xml version="1.0" encoding="utf-8"?>
<sst xmlns="http://schemas.openxmlformats.org/spreadsheetml/2006/main" count="126" uniqueCount="77">
  <si>
    <t>Programa Diplomado
Data Engineer versión 1 - 2026</t>
  </si>
  <si>
    <r>
      <rPr>
        <b/>
        <sz val="11"/>
        <rFont val="Calibri"/>
        <family val="1"/>
      </rPr>
      <t>Clase</t>
    </r>
  </si>
  <si>
    <t>Fecha</t>
  </si>
  <si>
    <r>
      <rPr>
        <b/>
        <sz val="11"/>
        <rFont val="Calibri"/>
        <family val="1"/>
      </rPr>
      <t>Módulo</t>
    </r>
  </si>
  <si>
    <r>
      <rPr>
        <b/>
        <sz val="11"/>
        <rFont val="Calibri"/>
        <family val="1"/>
      </rPr>
      <t>Horas</t>
    </r>
  </si>
  <si>
    <t>Módulo 1: Fundamentos del trabajo orientado por datos (12 horas)</t>
  </si>
  <si>
    <t>Herramientas de desarrollo ( IDEs)</t>
  </si>
  <si>
    <t>Terminal y línea de comandos (Linux, Bash, scripts básicos)</t>
  </si>
  <si>
    <t>Bases de datos SQL básico (consultas, joins básicos)</t>
  </si>
  <si>
    <t>Manejo práctico de datos (CSV, JSON,XML)</t>
  </si>
  <si>
    <t>Módulo 2: Introducción a la programación y al preprocesamiento de datos (12 horas)</t>
  </si>
  <si>
    <t>Introduccion a la programación con Python</t>
  </si>
  <si>
    <r>
      <rPr>
        <sz val="11"/>
        <rFont val="Calibri"/>
        <family val="1"/>
      </rPr>
      <t>Estructuras y tipos de datos;</t>
    </r>
  </si>
  <si>
    <r>
      <rPr>
        <sz val="11"/>
        <rFont val="Calibri"/>
        <family val="1"/>
      </rPr>
      <t>Programación condicional, iteración y recursión</t>
    </r>
  </si>
  <si>
    <r>
      <rPr>
        <sz val="11"/>
        <rFont val="Calibri"/>
        <family val="1"/>
      </rPr>
      <t>Limpieza, normalización y gestión de datos</t>
    </r>
  </si>
  <si>
    <t xml:space="preserve">Módulo 3: Algoritmos y estructuras de datos (15 hrs.) </t>
  </si>
  <si>
    <t>Introducciona Big Data: Introducción al tratamiento de estructuras de datos en la industria</t>
  </si>
  <si>
    <r>
      <rPr>
        <sz val="11"/>
        <rFont val="Calibri"/>
        <family val="1"/>
      </rPr>
      <t>Arreglos y listas anidadas</t>
    </r>
  </si>
  <si>
    <r>
      <rPr>
        <sz val="11"/>
        <rFont val="Calibri"/>
        <family val="1"/>
      </rPr>
      <t>Arboles Binarios</t>
    </r>
  </si>
  <si>
    <r>
      <rPr>
        <sz val="11"/>
        <rFont val="Calibri"/>
        <family val="1"/>
      </rPr>
      <t>Grafos</t>
    </r>
  </si>
  <si>
    <r>
      <rPr>
        <sz val="11"/>
        <rFont val="Calibri"/>
        <family val="1"/>
      </rPr>
      <t>Tablas de hashing</t>
    </r>
  </si>
  <si>
    <r>
      <rPr>
        <b/>
        <sz val="11"/>
        <rFont val="Calibri"/>
        <family val="1"/>
      </rPr>
      <t>Módulo 4: Modelos y gestión de bases de datos (15 hrs)</t>
    </r>
  </si>
  <si>
    <t>Módulo 5: Ingeniería de datos aplicada y proyectos integradores (15 horas)</t>
  </si>
  <si>
    <t>Arquitectura de pipelines de datos (introducción a Airflow, Luigi, procesos ETL básicos)</t>
  </si>
  <si>
    <t>Desarrollo práctico de APIs (FastAPI, integración básica con bases de datos)</t>
  </si>
  <si>
    <t>Integración de datos en la nube (AWS S3, RDS, DynamoDB básico)</t>
  </si>
  <si>
    <t>Automatización y monitoreo (scripts de automatización, logging básico, alertas simples)</t>
  </si>
  <si>
    <t>Herramienta ELK, monitoreo de variables</t>
  </si>
  <si>
    <t>Big Data: historia, conceptos y tecnología</t>
  </si>
  <si>
    <t>⁠PySpark Hands-on: DataFrame y Transformaciones</t>
  </si>
  <si>
    <t>⁠PySpark Hands-on: Data sources y transformaciones avanzadas</t>
  </si>
  <si>
    <t>PySpark Hands-on: Streaming</t>
  </si>
  <si>
    <t>⁠PySpark: Mejores prácticas y SparkUI</t>
  </si>
  <si>
    <t>⁠PySpark Hands-on: MLlib</t>
  </si>
  <si>
    <t>Semana Libre</t>
  </si>
  <si>
    <t>Data Pipeline y ETL *</t>
  </si>
  <si>
    <r>
      <rPr>
        <sz val="11"/>
        <rFont val="Calibri"/>
        <family val="1"/>
      </rPr>
      <t>ETL con Python</t>
    </r>
  </si>
  <si>
    <t>Data Warehouse, Datalake y ELT</t>
  </si>
  <si>
    <r>
      <rPr>
        <sz val="11"/>
        <rFont val="Calibri"/>
        <family val="1"/>
      </rPr>
      <t>Orquestación de los datos</t>
    </r>
  </si>
  <si>
    <r>
      <rPr>
        <sz val="11"/>
        <rFont val="Calibri"/>
        <family val="1"/>
      </rPr>
      <t>Herramientas de visualización</t>
    </r>
  </si>
  <si>
    <r>
      <t>Computación en la nube: fundamentos, arquitecturas y buenas prácticas</t>
    </r>
    <r>
      <rPr>
        <sz val="11"/>
        <rFont val="Calibri"/>
        <family val="2"/>
      </rPr>
      <t xml:space="preserve">  (sólo hacer mención sobre </t>
    </r>
    <r>
      <rPr>
        <sz val="11"/>
        <rFont val="Calibri"/>
        <family val="1"/>
      </rPr>
      <t>GCP y Microsoft Azure)</t>
    </r>
  </si>
  <si>
    <r>
      <rPr>
        <sz val="11"/>
        <rFont val="Calibri"/>
        <family val="1"/>
      </rPr>
      <t>Amazon Web Services</t>
    </r>
  </si>
  <si>
    <t>Amazon Web Services</t>
  </si>
  <si>
    <t>Proyecto práctico integrador de ingeniería de datos</t>
  </si>
  <si>
    <t>Módulo 10: Machine Learning para la escala masiva de datos (15 hrs)</t>
  </si>
  <si>
    <r>
      <rPr>
        <sz val="11"/>
        <rFont val="Calibri"/>
        <family val="1"/>
      </rPr>
      <t>Fundamentos de Datos y Analytics</t>
    </r>
  </si>
  <si>
    <r>
      <rPr>
        <sz val="11"/>
        <rFont val="Calibri"/>
        <family val="1"/>
      </rPr>
      <t>Reducción de la dimensionalidad</t>
    </r>
  </si>
  <si>
    <r>
      <rPr>
        <sz val="11"/>
        <rFont val="Calibri"/>
        <family val="1"/>
      </rPr>
      <t>Aprendizaje no supervisado</t>
    </r>
  </si>
  <si>
    <r>
      <rPr>
        <sz val="11"/>
        <rFont val="Calibri"/>
        <family val="1"/>
      </rPr>
      <t>Aprendizaje supervisado</t>
    </r>
  </si>
  <si>
    <r>
      <rPr>
        <sz val="11"/>
        <rFont val="Calibri"/>
        <family val="1"/>
      </rPr>
      <t>Métricas de optimización</t>
    </r>
  </si>
  <si>
    <r>
      <rPr>
        <b/>
        <sz val="11"/>
        <rFont val="Calibri"/>
        <family val="1"/>
      </rPr>
      <t>Horas lectivas</t>
    </r>
  </si>
  <si>
    <r>
      <rPr>
        <b/>
        <sz val="11"/>
        <rFont val="Calibri"/>
        <family val="1"/>
      </rPr>
      <t>Ejercicios</t>
    </r>
  </si>
  <si>
    <r>
      <rPr>
        <b/>
        <sz val="11"/>
        <rFont val="Calibri"/>
        <family val="1"/>
      </rPr>
      <t>Total Horas</t>
    </r>
  </si>
  <si>
    <t>Int. a la VisDat: contexto histórico; marcas y canales visuales; esquemática, color y tipografía</t>
  </si>
  <si>
    <t>Visualización de Datos Numéricos</t>
  </si>
  <si>
    <t>Visualización de Datos No Numéricos (grafos, mapas)</t>
  </si>
  <si>
    <t>Visualización de Datos Multidimensionales</t>
  </si>
  <si>
    <t>Visualización y Ciencia de Datos: Asociación, Clasificación</t>
  </si>
  <si>
    <t>Profesor V1</t>
  </si>
  <si>
    <t>Módulo 6: Sistemas de computación distribuida (18 hrs.)</t>
  </si>
  <si>
    <t>Módulo 7: Data Pipelines y plataformas de visualización (15 hrs.)</t>
  </si>
  <si>
    <t>Módulo 8: Fundamentos de Visualización de datos  (15 hrs)</t>
  </si>
  <si>
    <t>Módulo 9: Computación en la nube y cloud serveless (18 hrs.)</t>
  </si>
  <si>
    <t>Introducción a las Bases de Datos, Semánticas de Datos y Modelado Conceptual.</t>
  </si>
  <si>
    <t>Bases de Datos Relacionales: diseño lógico y programación.</t>
  </si>
  <si>
    <t>Bases de Datos NoSQL: visión general de los modelos clave-valor, columnar, documental y de grafos.</t>
  </si>
  <si>
    <t>Bases de Datos Documentales: diseño y programación.</t>
  </si>
  <si>
    <t>Bases de Datos de Grafos: diseño y programación.</t>
  </si>
  <si>
    <t>Matias Magni</t>
  </si>
  <si>
    <t>Jaime campos Pérez</t>
  </si>
  <si>
    <t xml:space="preserve">Juan Pablo Castillo González </t>
  </si>
  <si>
    <t>José Luis Marti Lara</t>
  </si>
  <si>
    <t xml:space="preserve">Ivan Espinoza Meléndez </t>
  </si>
  <si>
    <t>Claudio Torres Fonseca</t>
  </si>
  <si>
    <t xml:space="preserve">José Luis Martí Lara </t>
  </si>
  <si>
    <t xml:space="preserve">Josefina Valenzuela Lazcano 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</si>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</sst>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Calibri"/>
      <family val="1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1" fontId="5" fillId="3" borderId="9" xfId="0" applyNumberFormat="1" applyFont="1" applyFill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1" fontId="5" fillId="3" borderId="3" xfId="0" applyNumberFormat="1" applyFont="1" applyFill="1" applyBorder="1" applyAlignment="1">
      <alignment horizontal="center" vertical="top" shrinkToFit="1"/>
    </xf>
    <xf numFmtId="1" fontId="5" fillId="0" borderId="1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/>
    </xf>
    <xf numFmtId="14" fontId="6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11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vertical="top"/>
    </xf>
    <xf numFmtId="14" fontId="4" fillId="2" borderId="4" xfId="0" applyNumberFormat="1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9" fillId="4" borderId="4" xfId="0" applyFont="1" applyFill="1" applyBorder="1"/>
    <xf numFmtId="0" fontId="7" fillId="0" borderId="4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/>
    <xf numFmtId="14" fontId="0" fillId="0" borderId="0" xfId="0" applyNumberFormat="1" applyAlignment="1">
      <alignment horizontal="left"/>
    </xf>
    <xf numFmtId="0" fontId="12" fillId="0" borderId="0" xfId="0" applyFont="1" applyAlignment="1">
      <alignment horizontal="left" vertical="top"/>
    </xf>
    <xf numFmtId="14" fontId="0" fillId="6" borderId="0" xfId="0" applyNumberFormat="1" applyFill="1" applyAlignment="1">
      <alignment horizontal="left"/>
    </xf>
    <xf numFmtId="1" fontId="5" fillId="0" borderId="5" xfId="0" applyNumberFormat="1" applyFont="1" applyBorder="1" applyAlignment="1">
      <alignment horizontal="center" vertical="top" shrinkToFit="1"/>
    </xf>
    <xf numFmtId="1" fontId="5" fillId="0" borderId="13" xfId="0" applyNumberFormat="1" applyFont="1" applyBorder="1" applyAlignment="1">
      <alignment horizontal="center" vertical="top" shrinkToFit="1"/>
    </xf>
    <xf numFmtId="1" fontId="5" fillId="3" borderId="4" xfId="0" applyNumberFormat="1" applyFont="1" applyFill="1" applyBorder="1" applyAlignment="1">
      <alignment horizontal="center" vertical="top" shrinkToFit="1"/>
    </xf>
    <xf numFmtId="0" fontId="0" fillId="0" borderId="4" xfId="0" applyBorder="1" applyAlignment="1">
      <alignment horizontal="center"/>
    </xf>
    <xf numFmtId="9" fontId="0" fillId="0" borderId="0" xfId="1" applyFont="1"/>
    <xf numFmtId="0" fontId="3" fillId="3" borderId="4" xfId="0" applyFont="1" applyFill="1" applyBorder="1" applyAlignment="1">
      <alignment horizontal="right" vertical="top"/>
    </xf>
    <xf numFmtId="0" fontId="2" fillId="3" borderId="4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3" fillId="3" borderId="6" xfId="0" applyFont="1" applyFill="1" applyBorder="1" applyAlignment="1">
      <alignment horizontal="right" vertical="top"/>
    </xf>
    <xf numFmtId="0" fontId="3" fillId="3" borderId="7" xfId="0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3" borderId="6" xfId="0" applyFont="1" applyFill="1" applyBorder="1" applyAlignment="1">
      <alignment horizontal="right" vertical="top"/>
    </xf>
    <xf numFmtId="0" fontId="2" fillId="3" borderId="7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right" vertical="top"/>
    </xf>
    <xf numFmtId="1" fontId="5" fillId="5" borderId="10" xfId="0" applyNumberFormat="1" applyFont="1" applyFill="1" applyBorder="1" applyAlignment="1">
      <alignment horizontal="center" vertical="top" shrinkToFit="1"/>
    </xf>
    <xf numFmtId="1" fontId="5" fillId="5" borderId="0" xfId="0" applyNumberFormat="1" applyFont="1" applyFill="1" applyAlignment="1">
      <alignment horizontal="center" vertical="top" shrinkToFit="1"/>
    </xf>
    <xf numFmtId="1" fontId="5" fillId="5" borderId="11" xfId="0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1857375</xdr:colOff>
      <xdr:row>0</xdr:row>
      <xdr:rowOff>0</xdr:rowOff>
    </xdr:from>
    <xdr:ext cx="1409700" cy="729465"/>
    <xdr:pic>
      <xdr:nvPicPr>
        <xdr:cNvPr id="8" name="image1.png">
          <a:extLst>
            <a:ext uri="{FF2B5EF4-FFF2-40B4-BE49-F238E27FC236}">
              <a16:creationId xmlns:a16="http://schemas.microsoft.com/office/drawing/2014/main" id="{3E1F1986-E688-4094-9252-4FA9EB595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0"/>
          <a:ext cx="1409700" cy="7294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F872-5E60-46F0-BF3C-EDC4B065A68B}">
  <dimension ref="A1:M68"/>
  <sheetViews>
    <sheetView tabSelected="1" topLeftCell="B1" zoomScaleNormal="100" workbookViewId="0">
      <selection activeCell="F68" sqref="F68"/>
    </sheetView>
  </sheetViews>
  <sheetFormatPr baseColWidth="10" defaultRowHeight="14.5" x14ac:dyDescent="0.35"/>
  <cols>
    <col min="1" max="1" width="5.7265625" customWidth="1"/>
    <col min="2" max="2" width="11.453125" style="1"/>
    <col min="3" max="3" width="79.1796875" customWidth="1"/>
    <col min="4" max="4" width="8.1796875" customWidth="1"/>
    <col min="5" max="5" width="27.453125" style="20" customWidth="1"/>
    <col min="6" max="6" width="11.453125" customWidth="1"/>
  </cols>
  <sheetData>
    <row r="1" spans="1:13" ht="51.75" customHeight="1" x14ac:dyDescent="0.35">
      <c r="A1" s="31" t="s">
        <v>0</v>
      </c>
      <c r="B1" s="32"/>
      <c r="C1" s="32"/>
      <c r="D1" s="33"/>
    </row>
    <row r="2" spans="1:13" x14ac:dyDescent="0.35">
      <c r="A2" s="11" t="s">
        <v>1</v>
      </c>
      <c r="B2" s="12" t="s">
        <v>2</v>
      </c>
      <c r="C2" s="11" t="s">
        <v>3</v>
      </c>
      <c r="D2" s="13" t="s">
        <v>4</v>
      </c>
      <c r="E2" s="20" t="s">
        <v>58</v>
      </c>
    </row>
    <row r="3" spans="1:13" ht="15" customHeight="1" x14ac:dyDescent="0.35">
      <c r="A3" s="34" t="s">
        <v>5</v>
      </c>
      <c r="B3" s="35"/>
      <c r="C3" s="36"/>
      <c r="D3" s="2"/>
      <c r="E3" s="20" t="s">
        <v>68</v>
      </c>
    </row>
    <row r="4" spans="1:13" ht="16.5" customHeight="1" x14ac:dyDescent="0.35">
      <c r="A4" s="26">
        <v>1</v>
      </c>
      <c r="B4" s="19">
        <v>46104</v>
      </c>
      <c r="C4" s="15" t="s">
        <v>6</v>
      </c>
      <c r="D4" s="3">
        <v>3</v>
      </c>
      <c r="E4" s="20" t="s">
        <v>76</v>
      </c>
    </row>
    <row r="5" spans="1:13" ht="16.5" customHeight="1" x14ac:dyDescent="0.35">
      <c r="A5" s="26">
        <v>2</v>
      </c>
      <c r="B5" s="19">
        <v>46106</v>
      </c>
      <c r="C5" s="15" t="s">
        <v>7</v>
      </c>
      <c r="D5" s="3">
        <v>3</v>
      </c>
      <c r="E5" s="20" t="s">
        <v>76</v>
      </c>
    </row>
    <row r="6" spans="1:13" ht="15" customHeight="1" x14ac:dyDescent="0.35">
      <c r="A6" s="4">
        <v>3</v>
      </c>
      <c r="B6" s="19">
        <v>46108</v>
      </c>
      <c r="C6" s="15" t="s">
        <v>8</v>
      </c>
      <c r="D6" s="3">
        <v>3</v>
      </c>
      <c r="E6" s="20" t="s">
        <v>76</v>
      </c>
    </row>
    <row r="7" spans="1:13" ht="14.25" customHeight="1" x14ac:dyDescent="0.35">
      <c r="A7" s="4">
        <v>4</v>
      </c>
      <c r="B7" s="19">
        <v>46111</v>
      </c>
      <c r="C7" s="15" t="s">
        <v>9</v>
      </c>
      <c r="D7" s="3">
        <v>3</v>
      </c>
      <c r="E7" s="20" t="s">
        <v>76</v>
      </c>
    </row>
    <row r="8" spans="1:13" ht="15" customHeight="1" x14ac:dyDescent="0.35">
      <c r="A8" s="28" t="s">
        <v>10</v>
      </c>
      <c r="B8" s="29"/>
      <c r="C8" s="29"/>
      <c r="D8" s="5"/>
      <c r="E8" s="21" t="s">
        <v>69</v>
      </c>
    </row>
    <row r="9" spans="1:13" ht="18.75" customHeight="1" x14ac:dyDescent="0.35">
      <c r="A9" s="4">
        <v>5</v>
      </c>
      <c r="B9" s="19">
        <v>46113</v>
      </c>
      <c r="C9" s="14" t="s">
        <v>11</v>
      </c>
      <c r="D9" s="3">
        <v>3</v>
      </c>
      <c r="E9" s="20" t="s">
        <v>76</v>
      </c>
    </row>
    <row r="10" spans="1:13" ht="18" customHeight="1" x14ac:dyDescent="0.35">
      <c r="A10" s="4">
        <v>6</v>
      </c>
      <c r="B10" s="19">
        <v>46118</v>
      </c>
      <c r="C10" s="15" t="s">
        <v>12</v>
      </c>
      <c r="D10" s="3">
        <v>3</v>
      </c>
      <c r="E10" s="20" t="s">
        <v>76</v>
      </c>
    </row>
    <row r="11" spans="1:13" ht="18" customHeight="1" x14ac:dyDescent="0.35">
      <c r="A11" s="4">
        <v>7</v>
      </c>
      <c r="B11" s="19">
        <v>46120</v>
      </c>
      <c r="C11" s="15" t="s">
        <v>13</v>
      </c>
      <c r="D11" s="3">
        <v>3</v>
      </c>
      <c r="E11" s="20" t="s">
        <v>76</v>
      </c>
    </row>
    <row r="12" spans="1:13" x14ac:dyDescent="0.35">
      <c r="A12" s="4">
        <v>8</v>
      </c>
      <c r="B12" s="19">
        <v>46122</v>
      </c>
      <c r="C12" s="15" t="s">
        <v>14</v>
      </c>
      <c r="D12" s="3">
        <v>3</v>
      </c>
      <c r="E12" s="20" t="s">
        <v>76</v>
      </c>
    </row>
    <row r="13" spans="1:13" ht="15" customHeight="1" x14ac:dyDescent="0.35">
      <c r="A13" s="28" t="s">
        <v>15</v>
      </c>
      <c r="B13" s="29"/>
      <c r="C13" s="29"/>
      <c r="D13" s="5"/>
      <c r="E13" s="21" t="s">
        <v>70</v>
      </c>
    </row>
    <row r="14" spans="1:13" x14ac:dyDescent="0.35">
      <c r="A14" s="4">
        <v>9</v>
      </c>
      <c r="B14" s="19">
        <v>46125</v>
      </c>
      <c r="C14" s="16" t="s">
        <v>16</v>
      </c>
      <c r="D14" s="3">
        <v>3</v>
      </c>
      <c r="E14" s="20" t="s">
        <v>76</v>
      </c>
      <c r="M14" s="1"/>
    </row>
    <row r="15" spans="1:13" x14ac:dyDescent="0.35">
      <c r="A15" s="4">
        <v>10</v>
      </c>
      <c r="B15" s="19">
        <v>46127</v>
      </c>
      <c r="C15" s="15" t="s">
        <v>17</v>
      </c>
      <c r="D15" s="3">
        <v>3</v>
      </c>
      <c r="E15" s="20" t="s">
        <v>76</v>
      </c>
      <c r="M15" s="1"/>
    </row>
    <row r="16" spans="1:13" x14ac:dyDescent="0.35">
      <c r="A16" s="4">
        <v>11</v>
      </c>
      <c r="B16" s="19">
        <v>46129</v>
      </c>
      <c r="C16" s="15" t="s">
        <v>18</v>
      </c>
      <c r="D16" s="3">
        <v>3</v>
      </c>
      <c r="E16" s="20" t="s">
        <v>76</v>
      </c>
    </row>
    <row r="17" spans="1:13" x14ac:dyDescent="0.35">
      <c r="A17" s="4">
        <v>12</v>
      </c>
      <c r="B17" s="19">
        <v>46132</v>
      </c>
      <c r="C17" s="15" t="s">
        <v>19</v>
      </c>
      <c r="D17" s="3">
        <v>3</v>
      </c>
      <c r="E17" s="20" t="s">
        <v>76</v>
      </c>
    </row>
    <row r="18" spans="1:13" x14ac:dyDescent="0.35">
      <c r="A18" s="4">
        <v>13</v>
      </c>
      <c r="B18" s="19">
        <v>46134</v>
      </c>
      <c r="C18" s="15" t="s">
        <v>20</v>
      </c>
      <c r="D18" s="3">
        <v>3</v>
      </c>
      <c r="E18" s="20" t="s">
        <v>76</v>
      </c>
    </row>
    <row r="19" spans="1:13" ht="15" customHeight="1" x14ac:dyDescent="0.35">
      <c r="A19" s="29" t="s">
        <v>21</v>
      </c>
      <c r="B19" s="29"/>
      <c r="C19" s="29"/>
      <c r="D19" s="5"/>
      <c r="E19" s="21" t="s">
        <v>71</v>
      </c>
    </row>
    <row r="20" spans="1:13" x14ac:dyDescent="0.35">
      <c r="A20" s="4">
        <v>14</v>
      </c>
      <c r="B20" s="19">
        <v>46136</v>
      </c>
      <c r="C20" s="16" t="s">
        <v>63</v>
      </c>
      <c r="D20" s="3">
        <v>3</v>
      </c>
      <c r="E20" s="20" t="s">
        <v>76</v>
      </c>
    </row>
    <row r="21" spans="1:13" x14ac:dyDescent="0.35">
      <c r="A21" s="4">
        <v>15</v>
      </c>
      <c r="B21" s="19">
        <v>46139</v>
      </c>
      <c r="C21" s="15" t="s">
        <v>64</v>
      </c>
      <c r="D21" s="3">
        <v>3</v>
      </c>
      <c r="E21" s="20" t="s">
        <v>76</v>
      </c>
    </row>
    <row r="22" spans="1:13" x14ac:dyDescent="0.35">
      <c r="A22" s="4">
        <v>16</v>
      </c>
      <c r="B22" s="19">
        <v>46141</v>
      </c>
      <c r="C22" s="16" t="s">
        <v>65</v>
      </c>
      <c r="D22" s="3">
        <v>3</v>
      </c>
      <c r="E22" s="20" t="s">
        <v>76</v>
      </c>
    </row>
    <row r="23" spans="1:13" x14ac:dyDescent="0.35">
      <c r="A23" s="4">
        <v>17</v>
      </c>
      <c r="B23" s="19">
        <v>46146</v>
      </c>
      <c r="C23" s="16" t="s">
        <v>66</v>
      </c>
      <c r="D23" s="3">
        <v>3</v>
      </c>
      <c r="E23" s="20" t="s">
        <v>76</v>
      </c>
    </row>
    <row r="24" spans="1:13" x14ac:dyDescent="0.35">
      <c r="A24" s="4">
        <v>18</v>
      </c>
      <c r="B24" s="19">
        <v>46148</v>
      </c>
      <c r="C24" s="16" t="s">
        <v>67</v>
      </c>
      <c r="D24" s="23">
        <v>3</v>
      </c>
      <c r="E24" s="20" t="s">
        <v>76</v>
      </c>
    </row>
    <row r="25" spans="1:13" ht="15" customHeight="1" x14ac:dyDescent="0.35">
      <c r="A25" s="37" t="s">
        <v>22</v>
      </c>
      <c r="B25" s="38"/>
      <c r="C25" s="39"/>
      <c r="D25" s="25"/>
      <c r="E25" s="22" t="s">
        <v>72</v>
      </c>
    </row>
    <row r="26" spans="1:13" x14ac:dyDescent="0.35">
      <c r="A26" s="4">
        <v>19</v>
      </c>
      <c r="B26" s="19">
        <v>46150</v>
      </c>
      <c r="C26" s="15" t="s">
        <v>23</v>
      </c>
      <c r="D26" s="24">
        <v>3</v>
      </c>
      <c r="E26" s="20" t="s">
        <v>76</v>
      </c>
    </row>
    <row r="27" spans="1:13" x14ac:dyDescent="0.35">
      <c r="A27" s="4">
        <v>20</v>
      </c>
      <c r="B27" s="19">
        <v>46153</v>
      </c>
      <c r="C27" s="15" t="s">
        <v>24</v>
      </c>
      <c r="D27" s="3">
        <v>3</v>
      </c>
      <c r="E27" s="20" t="s">
        <v>76</v>
      </c>
    </row>
    <row r="28" spans="1:13" x14ac:dyDescent="0.35">
      <c r="A28" s="4">
        <v>21</v>
      </c>
      <c r="B28" s="19">
        <v>46155</v>
      </c>
      <c r="C28" s="15" t="s">
        <v>25</v>
      </c>
      <c r="D28" s="3">
        <v>3</v>
      </c>
      <c r="E28" s="20" t="s">
        <v>76</v>
      </c>
    </row>
    <row r="29" spans="1:13" x14ac:dyDescent="0.35">
      <c r="A29" s="4">
        <v>22</v>
      </c>
      <c r="B29" s="19">
        <v>46157</v>
      </c>
      <c r="C29" s="15" t="s">
        <v>26</v>
      </c>
      <c r="D29" s="3">
        <v>3</v>
      </c>
      <c r="E29" s="20" t="s">
        <v>76</v>
      </c>
    </row>
    <row r="30" spans="1:13" x14ac:dyDescent="0.35">
      <c r="A30" s="4">
        <v>23</v>
      </c>
      <c r="B30" s="19">
        <v>46160</v>
      </c>
      <c r="C30" s="15" t="s">
        <v>27</v>
      </c>
      <c r="D30" s="3">
        <v>3</v>
      </c>
      <c r="E30" s="20" t="s">
        <v>76</v>
      </c>
      <c r="M30" s="1"/>
    </row>
    <row r="31" spans="1:13" ht="15" customHeight="1" x14ac:dyDescent="0.35">
      <c r="A31" s="28" t="s">
        <v>59</v>
      </c>
      <c r="B31" s="29"/>
      <c r="C31" s="29"/>
      <c r="D31" s="5"/>
      <c r="E31" s="21" t="s">
        <v>72</v>
      </c>
      <c r="M31" s="1"/>
    </row>
    <row r="32" spans="1:13" x14ac:dyDescent="0.35">
      <c r="A32" s="4">
        <v>24</v>
      </c>
      <c r="B32" s="19">
        <v>46162</v>
      </c>
      <c r="C32" s="15" t="s">
        <v>28</v>
      </c>
      <c r="D32" s="3">
        <v>3</v>
      </c>
      <c r="E32" s="20" t="s">
        <v>76</v>
      </c>
      <c r="M32" s="1"/>
    </row>
    <row r="33" spans="1:5" x14ac:dyDescent="0.35">
      <c r="A33" s="4">
        <v>25</v>
      </c>
      <c r="B33" s="19">
        <v>46164</v>
      </c>
      <c r="C33" s="15" t="s">
        <v>29</v>
      </c>
      <c r="D33" s="3">
        <v>3</v>
      </c>
      <c r="E33" s="20" t="s">
        <v>76</v>
      </c>
    </row>
    <row r="34" spans="1:5" x14ac:dyDescent="0.35">
      <c r="A34" s="4">
        <v>26</v>
      </c>
      <c r="B34" s="19">
        <v>46167</v>
      </c>
      <c r="C34" s="15" t="s">
        <v>30</v>
      </c>
      <c r="D34" s="3">
        <v>3</v>
      </c>
      <c r="E34" s="20" t="s">
        <v>76</v>
      </c>
    </row>
    <row r="35" spans="1:5" x14ac:dyDescent="0.35">
      <c r="A35" s="4">
        <v>27</v>
      </c>
      <c r="B35" s="19">
        <v>46169</v>
      </c>
      <c r="C35" s="15" t="s">
        <v>31</v>
      </c>
      <c r="D35" s="3">
        <v>3</v>
      </c>
      <c r="E35" s="20" t="s">
        <v>76</v>
      </c>
    </row>
    <row r="36" spans="1:5" x14ac:dyDescent="0.35">
      <c r="A36" s="4">
        <v>28</v>
      </c>
      <c r="B36" s="19">
        <v>46171</v>
      </c>
      <c r="C36" s="15" t="s">
        <v>32</v>
      </c>
      <c r="D36" s="3">
        <v>3</v>
      </c>
      <c r="E36" s="20" t="s">
        <v>76</v>
      </c>
    </row>
    <row r="37" spans="1:5" x14ac:dyDescent="0.35">
      <c r="A37" s="4">
        <v>29</v>
      </c>
      <c r="B37" s="19">
        <v>46174</v>
      </c>
      <c r="C37" s="15" t="s">
        <v>33</v>
      </c>
      <c r="D37" s="3">
        <v>3</v>
      </c>
      <c r="E37" s="20" t="s">
        <v>76</v>
      </c>
    </row>
    <row r="38" spans="1:5" x14ac:dyDescent="0.35">
      <c r="A38" s="40" t="s">
        <v>34</v>
      </c>
      <c r="B38" s="41"/>
      <c r="C38" s="41"/>
      <c r="D38" s="42"/>
    </row>
    <row r="39" spans="1:5" ht="15" customHeight="1" x14ac:dyDescent="0.35">
      <c r="A39" s="28" t="s">
        <v>60</v>
      </c>
      <c r="B39" s="29"/>
      <c r="C39" s="29"/>
      <c r="D39" s="5"/>
      <c r="E39" s="21" t="s">
        <v>73</v>
      </c>
    </row>
    <row r="40" spans="1:5" x14ac:dyDescent="0.35">
      <c r="A40" s="4">
        <v>30</v>
      </c>
      <c r="B40" s="19">
        <v>46183</v>
      </c>
      <c r="C40" s="16" t="s">
        <v>35</v>
      </c>
      <c r="D40" s="3">
        <v>3</v>
      </c>
      <c r="E40" s="20" t="s">
        <v>76</v>
      </c>
    </row>
    <row r="41" spans="1:5" x14ac:dyDescent="0.35">
      <c r="A41" s="4">
        <v>31</v>
      </c>
      <c r="B41" s="19">
        <v>46185</v>
      </c>
      <c r="C41" s="15" t="s">
        <v>36</v>
      </c>
      <c r="D41" s="3">
        <v>3</v>
      </c>
      <c r="E41" s="20" t="s">
        <v>76</v>
      </c>
    </row>
    <row r="42" spans="1:5" x14ac:dyDescent="0.35">
      <c r="A42" s="4">
        <v>32</v>
      </c>
      <c r="B42" s="19">
        <v>46188</v>
      </c>
      <c r="C42" s="15" t="s">
        <v>37</v>
      </c>
      <c r="D42" s="3">
        <v>3</v>
      </c>
      <c r="E42" s="20" t="s">
        <v>76</v>
      </c>
    </row>
    <row r="43" spans="1:5" x14ac:dyDescent="0.35">
      <c r="A43" s="4">
        <v>33</v>
      </c>
      <c r="B43" s="19">
        <v>46190</v>
      </c>
      <c r="C43" s="15" t="s">
        <v>38</v>
      </c>
      <c r="D43" s="3">
        <v>3</v>
      </c>
      <c r="E43" s="20" t="s">
        <v>76</v>
      </c>
    </row>
    <row r="44" spans="1:5" x14ac:dyDescent="0.35">
      <c r="A44" s="4">
        <v>34</v>
      </c>
      <c r="B44" s="19">
        <v>46192</v>
      </c>
      <c r="C44" s="15" t="s">
        <v>39</v>
      </c>
      <c r="D44" s="3">
        <v>3</v>
      </c>
      <c r="E44" s="20" t="s">
        <v>76</v>
      </c>
    </row>
    <row r="45" spans="1:5" ht="15" customHeight="1" x14ac:dyDescent="0.35">
      <c r="A45" s="28" t="s">
        <v>61</v>
      </c>
      <c r="B45" s="28"/>
      <c r="C45" s="28"/>
      <c r="D45" s="5"/>
      <c r="E45" s="21" t="s">
        <v>74</v>
      </c>
    </row>
    <row r="46" spans="1:5" x14ac:dyDescent="0.35">
      <c r="A46" s="4">
        <v>35</v>
      </c>
      <c r="B46" s="19">
        <v>46195</v>
      </c>
      <c r="C46" s="16" t="s">
        <v>53</v>
      </c>
      <c r="D46" s="3">
        <v>3</v>
      </c>
      <c r="E46" s="20" t="s">
        <v>76</v>
      </c>
    </row>
    <row r="47" spans="1:5" x14ac:dyDescent="0.35">
      <c r="A47" s="4">
        <v>36</v>
      </c>
      <c r="B47" s="19">
        <v>46197</v>
      </c>
      <c r="C47" s="16" t="s">
        <v>54</v>
      </c>
      <c r="D47" s="3">
        <v>3</v>
      </c>
      <c r="E47" s="20" t="s">
        <v>76</v>
      </c>
    </row>
    <row r="48" spans="1:5" x14ac:dyDescent="0.35">
      <c r="A48" s="4">
        <v>37</v>
      </c>
      <c r="B48" s="19">
        <v>46199</v>
      </c>
      <c r="C48" s="16" t="s">
        <v>55</v>
      </c>
      <c r="D48" s="3">
        <v>3</v>
      </c>
      <c r="E48" s="20" t="s">
        <v>76</v>
      </c>
    </row>
    <row r="49" spans="1:13" x14ac:dyDescent="0.35">
      <c r="A49" s="4">
        <v>38</v>
      </c>
      <c r="B49" s="19">
        <v>46204</v>
      </c>
      <c r="C49" s="16" t="s">
        <v>56</v>
      </c>
      <c r="D49" s="3">
        <v>3</v>
      </c>
      <c r="E49" s="20" t="s">
        <v>76</v>
      </c>
    </row>
    <row r="50" spans="1:13" x14ac:dyDescent="0.35">
      <c r="A50" s="4">
        <v>39</v>
      </c>
      <c r="B50" s="19">
        <v>46206</v>
      </c>
      <c r="C50" s="16" t="s">
        <v>57</v>
      </c>
      <c r="D50" s="3">
        <v>3</v>
      </c>
      <c r="E50" s="20" t="s">
        <v>76</v>
      </c>
    </row>
    <row r="51" spans="1:13" ht="15" customHeight="1" x14ac:dyDescent="0.35">
      <c r="A51" s="28" t="s">
        <v>62</v>
      </c>
      <c r="B51" s="29"/>
      <c r="C51" s="29"/>
      <c r="D51" s="5"/>
      <c r="E51" s="21" t="s">
        <v>73</v>
      </c>
    </row>
    <row r="52" spans="1:13" x14ac:dyDescent="0.35">
      <c r="A52" s="4">
        <v>40</v>
      </c>
      <c r="B52" s="19">
        <v>46209</v>
      </c>
      <c r="C52" s="16" t="s">
        <v>40</v>
      </c>
      <c r="D52" s="3">
        <v>3</v>
      </c>
      <c r="E52" s="20" t="s">
        <v>76</v>
      </c>
    </row>
    <row r="53" spans="1:13" x14ac:dyDescent="0.35">
      <c r="A53" s="4">
        <v>41</v>
      </c>
      <c r="B53" s="19">
        <v>46211</v>
      </c>
      <c r="C53" s="15" t="s">
        <v>41</v>
      </c>
      <c r="D53" s="3">
        <v>3</v>
      </c>
      <c r="E53" s="20" t="s">
        <v>76</v>
      </c>
    </row>
    <row r="54" spans="1:13" x14ac:dyDescent="0.35">
      <c r="A54" s="4">
        <v>42</v>
      </c>
      <c r="B54" s="19">
        <v>46213</v>
      </c>
      <c r="C54" s="16" t="s">
        <v>42</v>
      </c>
      <c r="D54" s="3">
        <v>3</v>
      </c>
      <c r="E54" s="20" t="s">
        <v>76</v>
      </c>
      <c r="M54" s="1"/>
    </row>
    <row r="55" spans="1:13" x14ac:dyDescent="0.35">
      <c r="A55" s="4">
        <v>43</v>
      </c>
      <c r="B55" s="19">
        <v>46216</v>
      </c>
      <c r="C55" s="16" t="s">
        <v>42</v>
      </c>
      <c r="D55" s="3">
        <v>3</v>
      </c>
      <c r="E55" s="20" t="s">
        <v>76</v>
      </c>
      <c r="M55" s="1"/>
    </row>
    <row r="56" spans="1:13" x14ac:dyDescent="0.35">
      <c r="A56" s="4">
        <v>44</v>
      </c>
      <c r="B56" s="19">
        <v>46218</v>
      </c>
      <c r="C56" s="15" t="s">
        <v>43</v>
      </c>
      <c r="D56" s="3">
        <v>3</v>
      </c>
      <c r="E56" s="20" t="s">
        <v>76</v>
      </c>
      <c r="M56" s="1"/>
    </row>
    <row r="57" spans="1:13" x14ac:dyDescent="0.35">
      <c r="A57" s="4">
        <v>45</v>
      </c>
      <c r="B57" s="19">
        <v>46220</v>
      </c>
      <c r="C57" s="15" t="s">
        <v>43</v>
      </c>
      <c r="D57" s="3">
        <v>3</v>
      </c>
      <c r="E57" s="20" t="s">
        <v>76</v>
      </c>
      <c r="M57" s="1"/>
    </row>
    <row r="58" spans="1:13" ht="15" customHeight="1" x14ac:dyDescent="0.35">
      <c r="A58" s="28" t="s">
        <v>44</v>
      </c>
      <c r="B58" s="29"/>
      <c r="C58" s="29"/>
      <c r="D58" s="5"/>
      <c r="E58" s="21" t="s">
        <v>75</v>
      </c>
      <c r="M58" s="1"/>
    </row>
    <row r="59" spans="1:13" x14ac:dyDescent="0.35">
      <c r="A59" s="4">
        <v>46</v>
      </c>
      <c r="B59" s="19">
        <v>46225</v>
      </c>
      <c r="C59" s="15" t="s">
        <v>45</v>
      </c>
      <c r="D59" s="3">
        <v>3</v>
      </c>
      <c r="E59" s="20" t="s">
        <v>76</v>
      </c>
    </row>
    <row r="60" spans="1:13" x14ac:dyDescent="0.35">
      <c r="A60" s="4">
        <v>47</v>
      </c>
      <c r="B60" s="19">
        <v>46227</v>
      </c>
      <c r="C60" s="15" t="s">
        <v>46</v>
      </c>
      <c r="D60" s="3">
        <v>3</v>
      </c>
    </row>
    <row r="61" spans="1:13" x14ac:dyDescent="0.35">
      <c r="A61" s="4">
        <v>48</v>
      </c>
      <c r="B61" s="19">
        <v>46230</v>
      </c>
      <c r="C61" s="15" t="s">
        <v>47</v>
      </c>
      <c r="D61" s="3">
        <v>3</v>
      </c>
    </row>
    <row r="62" spans="1:13" x14ac:dyDescent="0.35">
      <c r="A62" s="4">
        <v>49</v>
      </c>
      <c r="B62" s="19">
        <v>46232</v>
      </c>
      <c r="C62" s="15" t="s">
        <v>48</v>
      </c>
      <c r="D62" s="3">
        <v>3</v>
      </c>
    </row>
    <row r="63" spans="1:13" x14ac:dyDescent="0.35">
      <c r="A63" s="4">
        <v>50</v>
      </c>
      <c r="B63" s="1">
        <v>46234</v>
      </c>
      <c r="C63" s="15" t="s">
        <v>49</v>
      </c>
      <c r="D63" s="6">
        <v>3</v>
      </c>
    </row>
    <row r="64" spans="1:13" ht="15" customHeight="1" x14ac:dyDescent="0.35">
      <c r="A64" s="30" t="s">
        <v>50</v>
      </c>
      <c r="B64" s="30"/>
      <c r="C64" s="30"/>
      <c r="D64" s="17"/>
    </row>
    <row r="65" spans="1:6" x14ac:dyDescent="0.35">
      <c r="A65" s="30" t="s">
        <v>51</v>
      </c>
      <c r="B65" s="30"/>
      <c r="C65" s="30"/>
      <c r="D65" s="18"/>
    </row>
    <row r="66" spans="1:6" x14ac:dyDescent="0.35">
      <c r="A66" s="30" t="s">
        <v>52</v>
      </c>
      <c r="B66" s="30"/>
      <c r="C66" s="30"/>
      <c r="D66" s="3">
        <f>SUM(D3:D63)</f>
        <v>150</v>
      </c>
      <c r="E66">
        <f>SUMIF(E4:E63,"ok",D4:D63)</f>
        <v>138</v>
      </c>
      <c r="F66" s="27">
        <f>+E66/D66</f>
        <v>0.92</v>
      </c>
    </row>
    <row r="67" spans="1:6" x14ac:dyDescent="0.35">
      <c r="A67" s="7"/>
      <c r="B67" s="8"/>
      <c r="C67" s="7"/>
      <c r="D67" s="9"/>
    </row>
    <row r="68" spans="1:6" x14ac:dyDescent="0.35">
      <c r="A68" s="7"/>
      <c r="B68" s="8"/>
      <c r="C68" s="10"/>
      <c r="D68" s="9"/>
    </row>
  </sheetData>
  <mergeCells count="15">
    <mergeCell ref="A58:C58"/>
    <mergeCell ref="A64:C64"/>
    <mergeCell ref="A65:C65"/>
    <mergeCell ref="A66:C66"/>
    <mergeCell ref="A1:D1"/>
    <mergeCell ref="A3:C3"/>
    <mergeCell ref="A8:C8"/>
    <mergeCell ref="A13:C13"/>
    <mergeCell ref="A19:C19"/>
    <mergeCell ref="A25:C25"/>
    <mergeCell ref="A31:C31"/>
    <mergeCell ref="A38:D38"/>
    <mergeCell ref="A39:C39"/>
    <mergeCell ref="A45:C45"/>
    <mergeCell ref="A51:C5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</dc:creator>
  <cp:lastModifiedBy>Valeria Luna M.</cp:lastModifiedBy>
  <dcterms:created xsi:type="dcterms:W3CDTF">2025-08-11T18:46:13Z</dcterms:created>
  <dcterms:modified xsi:type="dcterms:W3CDTF">2026-07-23T14:52:52Z</dcterms:modified>
</cp:coreProperties>
</file>